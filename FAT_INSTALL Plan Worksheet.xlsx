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T Plan" sheetId="1" state="visible" r:id="rId1"/>
  </sheets>
  <definedNames>
    <definedName name="_xlnm.Print_Area" localSheetId="0">'FAT Plan'!$A$1:$I$50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mm\-dd\-yyyy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FFFFFF"/>
      <sz val="16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4"/>
      <scheme val="minor"/>
    </font>
  </fonts>
  <fills count="19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8F0F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9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3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1" fillId="3" borderId="1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1" fillId="6" borderId="1" applyAlignment="1" pivotButton="0" quotePrefix="0" xfId="0">
      <alignment horizontal="center" vertical="top"/>
    </xf>
    <xf numFmtId="0" fontId="1" fillId="6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/>
    </xf>
    <xf numFmtId="164" fontId="1" fillId="8" borderId="1" applyAlignment="1" pivotButton="0" quotePrefix="0" xfId="0">
      <alignment horizontal="center" vertical="top"/>
    </xf>
    <xf numFmtId="0" fontId="1" fillId="8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top"/>
    </xf>
    <xf numFmtId="0" fontId="0" fillId="10" borderId="1" applyAlignment="1" pivotButton="0" quotePrefix="0" xfId="0">
      <alignment vertical="top" wrapText="1"/>
    </xf>
    <xf numFmtId="0" fontId="1" fillId="6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12" borderId="1" pivotButton="0" quotePrefix="0" xfId="0"/>
    <xf numFmtId="0" fontId="0" fillId="13" borderId="1" applyAlignment="1" pivotButton="0" quotePrefix="0" xfId="0">
      <alignment horizontal="center" vertical="top"/>
    </xf>
    <xf numFmtId="0" fontId="0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/>
    </xf>
    <xf numFmtId="0" fontId="0" fillId="14" borderId="1" applyAlignment="1" pivotButton="0" quotePrefix="0" xfId="0">
      <alignment horizontal="center" vertical="top"/>
    </xf>
    <xf numFmtId="0" fontId="0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/>
    </xf>
    <xf numFmtId="0" fontId="0" fillId="15" borderId="1" applyAlignment="1" pivotButton="0" quotePrefix="0" xfId="0">
      <alignment horizontal="center" vertical="top"/>
    </xf>
    <xf numFmtId="0" fontId="0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/>
    </xf>
    <xf numFmtId="0" fontId="0" fillId="16" borderId="1" applyAlignment="1" pivotButton="0" quotePrefix="0" xfId="0">
      <alignment horizontal="center" vertical="top"/>
    </xf>
    <xf numFmtId="0" fontId="0" fillId="16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/>
    </xf>
    <xf numFmtId="0" fontId="0" fillId="10" borderId="1" applyAlignment="1" pivotButton="0" quotePrefix="0" xfId="0">
      <alignment horizontal="center" vertical="top"/>
    </xf>
    <xf numFmtId="0" fontId="0" fillId="10" borderId="1" applyAlignment="1" pivotButton="0" quotePrefix="0" xfId="0">
      <alignment vertical="top"/>
    </xf>
    <xf numFmtId="9" fontId="0" fillId="0" borderId="0" pivotButton="0" quotePrefix="0" xfId="0"/>
    <xf numFmtId="0" fontId="1" fillId="18" borderId="0" pivotButton="0" quotePrefix="0" xfId="0"/>
    <xf numFmtId="0" fontId="2" fillId="0" borderId="1" pivotButton="0" quotePrefix="0" xfId="1"/>
    <xf numFmtId="165" fontId="0" fillId="13" borderId="1" applyAlignment="1" pivotButton="0" quotePrefix="0" xfId="0">
      <alignment horizontal="center" vertical="top"/>
    </xf>
    <xf numFmtId="165" fontId="0" fillId="14" borderId="1" applyAlignment="1" pivotButton="0" quotePrefix="0" xfId="0">
      <alignment horizontal="center" vertical="top"/>
    </xf>
    <xf numFmtId="165" fontId="0" fillId="15" borderId="1" applyAlignment="1" pivotButton="0" quotePrefix="0" xfId="0">
      <alignment horizontal="center" vertical="top"/>
    </xf>
    <xf numFmtId="165" fontId="0" fillId="16" borderId="1" applyAlignment="1" pivotButton="0" quotePrefix="0" xfId="0">
      <alignment horizontal="center" vertical="top"/>
    </xf>
    <xf numFmtId="165" fontId="0" fillId="1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 wrapText="1"/>
    </xf>
    <xf numFmtId="165" fontId="0" fillId="0" borderId="1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4" borderId="0" pivotButton="0" quotePrefix="0" xfId="0"/>
    <xf numFmtId="0" fontId="5" fillId="2" borderId="0" pivotButton="0" quotePrefix="0" xfId="0"/>
    <xf numFmtId="0" fontId="5" fillId="5" borderId="0" applyAlignment="1" pivotButton="0" quotePrefix="0" xfId="0">
      <alignment horizontal="center" vertical="top"/>
    </xf>
    <xf numFmtId="0" fontId="5" fillId="9" borderId="5" applyAlignment="1" pivotButton="0" quotePrefix="0" xfId="0">
      <alignment horizontal="center" vertical="top"/>
    </xf>
    <xf numFmtId="0" fontId="5" fillId="9" borderId="4" applyAlignment="1" pivotButton="0" quotePrefix="0" xfId="0">
      <alignment horizontal="center" vertical="top"/>
    </xf>
    <xf numFmtId="0" fontId="5" fillId="9" borderId="8" applyAlignment="1" pivotButton="0" quotePrefix="0" xfId="0">
      <alignment horizontal="center" vertical="top"/>
    </xf>
    <xf numFmtId="0" fontId="5" fillId="11" borderId="0" applyAlignment="1" pivotButton="0" quotePrefix="0" xfId="0">
      <alignment horizontal="center" vertical="top"/>
    </xf>
    <xf numFmtId="0" fontId="4" fillId="17" borderId="0" applyAlignment="1" pivotButton="0" quotePrefix="0" xfId="0">
      <alignment horizontal="center"/>
    </xf>
    <xf numFmtId="0" fontId="0" fillId="18" borderId="0" applyAlignment="1" pivotButton="0" quotePrefix="0" xfId="0">
      <alignment vertical="top" wrapText="1"/>
    </xf>
    <xf numFmtId="0" fontId="5" fillId="7" borderId="0" applyAlignment="1" pivotButton="0" quotePrefix="0" xfId="0">
      <alignment horizontal="center" vertical="top"/>
    </xf>
    <xf numFmtId="0" fontId="1" fillId="10" borderId="6" applyAlignment="1" pivotButton="0" quotePrefix="0" xfId="0">
      <alignment horizontal="center" vertical="top"/>
    </xf>
    <xf numFmtId="0" fontId="1" fillId="10" borderId="0" applyAlignment="1" pivotButton="0" quotePrefix="0" xfId="0">
      <alignment horizontal="center" vertical="top"/>
    </xf>
    <xf numFmtId="0" fontId="1" fillId="10" borderId="9" applyAlignment="1" pivotButton="0" quotePrefix="0" xfId="0">
      <alignment horizontal="center" vertical="top"/>
    </xf>
    <xf numFmtId="164" fontId="0" fillId="10" borderId="6" applyAlignment="1" pivotButton="0" quotePrefix="0" xfId="0">
      <alignment horizontal="center" vertical="top"/>
    </xf>
    <xf numFmtId="164" fontId="0" fillId="10" borderId="0" applyAlignment="1" pivotButton="0" quotePrefix="0" xfId="0">
      <alignment horizontal="center" vertical="top"/>
    </xf>
    <xf numFmtId="164" fontId="0" fillId="10" borderId="9" applyAlignment="1" pivotButton="0" quotePrefix="0" xfId="0">
      <alignment horizontal="center" vertical="top"/>
    </xf>
    <xf numFmtId="164" fontId="1" fillId="10" borderId="7" applyAlignment="1" pivotButton="0" quotePrefix="0" xfId="0">
      <alignment horizontal="center" vertical="top"/>
    </xf>
    <xf numFmtId="164" fontId="1" fillId="10" borderId="3" applyAlignment="1" pivotButton="0" quotePrefix="0" xfId="0">
      <alignment horizontal="center" vertical="top"/>
    </xf>
    <xf numFmtId="164" fontId="1" fillId="10" borderId="10" applyAlignment="1" pivotButton="0" quotePrefix="0" xfId="0">
      <alignment horizontal="center" vertical="top"/>
    </xf>
    <xf numFmtId="0" fontId="1" fillId="3" borderId="5" pivotButton="0" quotePrefix="0" xfId="0"/>
    <xf numFmtId="0" fontId="1" fillId="3" borderId="4" pivotButton="0" quotePrefix="0" xfId="0"/>
    <xf numFmtId="0" fontId="1" fillId="3" borderId="8" pivotButton="0" quotePrefix="0" xfId="0"/>
    <xf numFmtId="0" fontId="0" fillId="0" borderId="10" pivotButton="0" quotePrefix="0" xfId="0"/>
    <xf numFmtId="0" fontId="1" fillId="0" borderId="5" pivotButton="0" quotePrefix="0" xfId="0"/>
    <xf numFmtId="0" fontId="1" fillId="0" borderId="4" pivotButton="0" quotePrefix="0" xfId="0"/>
    <xf numFmtId="0" fontId="1" fillId="0" borderId="6" pivotButton="0" quotePrefix="0" xfId="0"/>
    <xf numFmtId="0" fontId="1" fillId="0" borderId="0" pivotButton="0" quotePrefix="0" xfId="0"/>
    <xf numFmtId="0" fontId="1" fillId="0" borderId="7" pivotButton="0" quotePrefix="0" xfId="0"/>
    <xf numFmtId="0" fontId="1" fillId="0" borderId="3" pivotButton="0" quotePrefix="0" xfId="0"/>
    <xf numFmtId="0" fontId="1" fillId="3" borderId="13" pivotButton="0" quotePrefix="0" xfId="0"/>
    <xf numFmtId="0" fontId="0" fillId="0" borderId="4" pivotButton="0" quotePrefix="0" xfId="0"/>
    <xf numFmtId="0" fontId="5" fillId="5" borderId="9" applyAlignment="1" pivotButton="0" quotePrefix="0" xfId="0">
      <alignment horizontal="center" vertical="top"/>
    </xf>
    <xf numFmtId="0" fontId="1" fillId="10" borderId="11" applyAlignment="1" pivotButton="0" quotePrefix="0" xfId="0">
      <alignment horizontal="center" vertical="top"/>
    </xf>
    <xf numFmtId="164" fontId="0" fillId="10" borderId="11" applyAlignment="1" pivotButton="0" quotePrefix="0" xfId="0">
      <alignment horizontal="center" vertical="top"/>
    </xf>
    <xf numFmtId="164" fontId="1" fillId="10" borderId="12" applyAlignment="1" pivotButton="0" quotePrefix="0" xfId="0">
      <alignment horizontal="center" vertical="top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dxfs count="5"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666666"/>
      </font>
      <fill>
        <patternFill patternType="solid">
          <fgColor indexed="64"/>
          <bgColor rgb="FFD9D9D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eric.milan@zwickroell.com" TargetMode="External" Id="rId1"/><Relationship Type="http://schemas.openxmlformats.org/officeDocument/2006/relationships/hyperlink" Target="mailto:james.ritchey@zwickroell.com" TargetMode="External" Id="rId2"/><Relationship Type="http://schemas.openxmlformats.org/officeDocument/2006/relationships/hyperlink" Target="mailto:heiko.haller@zwickroell.com" TargetMode="External" Id="rId3"/><Relationship Type="http://schemas.openxmlformats.org/officeDocument/2006/relationships/hyperlink" Target="mailto:anita.boyd@zwickroell.co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tabSelected="1" zoomScaleNormal="100" workbookViewId="0">
      <selection activeCell="H8" sqref="H8"/>
    </sheetView>
  </sheetViews>
  <sheetFormatPr baseColWidth="8" defaultColWidth="9.140625" defaultRowHeight="15"/>
  <cols>
    <col width="28.140625" bestFit="1" customWidth="1" min="1" max="1"/>
    <col width="26.7109375" customWidth="1" min="2" max="4"/>
    <col width="38.140625" customWidth="1" min="5" max="5"/>
    <col width="17.140625" customWidth="1" min="6" max="7"/>
    <col width="41.85546875" customWidth="1" min="8" max="8"/>
    <col width="22.85546875" customWidth="1" min="9" max="9"/>
  </cols>
  <sheetData>
    <row r="1" ht="21" customHeight="1">
      <c r="A1" s="53" t="inlineStr">
        <is>
          <t>EQUIPMENT INSTALLATION TRACKING</t>
        </is>
      </c>
    </row>
    <row r="2">
      <c r="A2" s="81" t="inlineStr">
        <is>
          <t>Document Number:</t>
        </is>
      </c>
      <c r="B2" s="2" t="inlineStr">
        <is>
          <t>DO737348</t>
        </is>
      </c>
      <c r="D2" s="81" t="inlineStr">
        <is>
          <t>Revision:</t>
        </is>
      </c>
      <c r="E2" s="2" t="n">
        <v>1</v>
      </c>
      <c r="G2" s="84" t="inlineStr">
        <is>
          <t>FAT SPECIMEN SHIPPING ADDRESS</t>
        </is>
      </c>
      <c r="H2" s="85" t="n"/>
      <c r="I2" s="5" t="n"/>
    </row>
    <row r="3">
      <c r="A3" s="81" t="inlineStr">
        <is>
          <t>Customer Name:</t>
        </is>
      </c>
      <c r="B3" s="2" t="inlineStr">
        <is>
          <t>Polymer Chemistry Innovations</t>
        </is>
      </c>
      <c r="D3" s="81" t="inlineStr">
        <is>
          <t>Author:</t>
        </is>
      </c>
      <c r="E3" s="2" t="n"/>
      <c r="G3" s="78" t="inlineStr">
        <is>
          <t>ZwickRoell GmbH &amp; Co. KG</t>
        </is>
      </c>
      <c r="H3" s="79" t="n"/>
      <c r="I3" s="5" t="n"/>
    </row>
    <row r="4">
      <c r="A4" s="81" t="inlineStr">
        <is>
          <t>Install Location:</t>
        </is>
      </c>
      <c r="B4" s="2" t="inlineStr">
        <is>
          <t>Polymer Chemistry Innovations / 4231 South Fremont Avenue  / Tucson, AZ 85714  / USA</t>
        </is>
      </c>
      <c r="D4" s="81" t="inlineStr">
        <is>
          <t>Approval Date:</t>
        </is>
      </c>
      <c r="E4" s="2" t="n"/>
      <c r="G4" s="80" t="inlineStr">
        <is>
          <t>Wareneingang-Service</t>
        </is>
      </c>
      <c r="H4" s="81" t="n"/>
      <c r="I4" s="6" t="n"/>
    </row>
    <row r="5">
      <c r="A5" s="81" t="inlineStr">
        <is>
          <t>Last Updated:</t>
        </is>
      </c>
      <c r="B5" s="11">
        <f>TODAY()</f>
        <v/>
      </c>
      <c r="D5" s="81" t="inlineStr">
        <is>
          <t>Approved By:</t>
        </is>
      </c>
      <c r="E5" s="2" t="n"/>
      <c r="G5" s="80" t="inlineStr">
        <is>
          <t>Lämmerweg 28</t>
        </is>
      </c>
      <c r="H5" s="81" t="n"/>
      <c r="I5" s="6" t="n"/>
    </row>
    <row r="6" customFormat="1" s="2">
      <c r="G6" s="80" t="inlineStr">
        <is>
          <t>89079 Ulm Germany</t>
        </is>
      </c>
      <c r="H6" s="81" t="n"/>
      <c r="I6" s="6" t="n"/>
    </row>
    <row r="7" customFormat="1" s="2">
      <c r="A7" s="62" t="inlineStr">
        <is>
          <t>INSTRUCTIONS &amp; LEGEND</t>
        </is>
      </c>
      <c r="G7" s="82" t="inlineStr">
        <is>
          <t>Attn: Heiko Haller</t>
        </is>
      </c>
      <c r="H7" s="83" t="n"/>
      <c r="I7" s="77" t="n"/>
    </row>
    <row r="8" ht="45" customHeight="1">
      <c r="A8" s="43" t="inlineStr">
        <is>
          <t>Status Codes:</t>
        </is>
      </c>
      <c r="B8" s="63" t="inlineStr">
        <is>
          <t>Not Started = Task pending  |  In Progress = Currently active  |  Completed = Finished  |  Blocked = Issue preventing progress  |  On Hold = Temporarily paused</t>
        </is>
      </c>
    </row>
    <row r="9" ht="45" customHeight="1">
      <c r="A9" s="43" t="inlineStr">
        <is>
          <t>Phase Codes:</t>
        </is>
      </c>
      <c r="B9" s="63" t="inlineStr">
        <is>
          <t>Pre-FAT = Preparation activities  |  FAT = Factory Acceptance Test  |  Logistics = Shipping &amp; handling  |  Install = On-site installation  |  Qualification = IQOQ/UL/CSA</t>
        </is>
      </c>
    </row>
    <row r="10" ht="49.15" customHeight="1"/>
    <row r="11" ht="52.15" customHeight="1">
      <c r="A11" s="55" t="inlineStr">
        <is>
          <t>KEY CONTACTS</t>
        </is>
      </c>
      <c r="G11" s="55" t="inlineStr">
        <is>
          <t>PROJECT PROGRESS</t>
        </is>
      </c>
    </row>
    <row r="12">
      <c r="A12" s="8" t="inlineStr">
        <is>
          <t>Role</t>
        </is>
      </c>
      <c r="B12" s="8" t="inlineStr">
        <is>
          <t>Name</t>
        </is>
      </c>
      <c r="C12" s="8" t="inlineStr">
        <is>
          <t>Company</t>
        </is>
      </c>
      <c r="D12" s="8" t="inlineStr">
        <is>
          <t>Phone</t>
        </is>
      </c>
      <c r="E12" s="8" t="inlineStr">
        <is>
          <t>Email</t>
        </is>
      </c>
      <c r="G12" s="8" t="inlineStr">
        <is>
          <t>Metric</t>
        </is>
      </c>
      <c r="H12" s="8" t="inlineStr">
        <is>
          <t>Count</t>
        </is>
      </c>
      <c r="I12" s="4" t="n"/>
    </row>
    <row r="13">
      <c r="A13" s="7" t="inlineStr">
        <is>
          <t>Regional Sales Manager (RSM)</t>
        </is>
      </c>
      <c r="B13" s="7" t="n"/>
      <c r="C13" s="7" t="n"/>
      <c r="D13" s="7" t="n"/>
      <c r="E13" s="7" t="n"/>
      <c r="G13" s="7" t="inlineStr">
        <is>
          <t>Total Tasks:</t>
        </is>
      </c>
      <c r="H13" s="10">
        <f>COUNTA(A24:A35)</f>
        <v/>
      </c>
    </row>
    <row r="14">
      <c r="A14" s="7" t="inlineStr">
        <is>
          <t>Project Manager</t>
        </is>
      </c>
      <c r="B14" s="7" t="inlineStr">
        <is>
          <t>Eric Milan</t>
        </is>
      </c>
      <c r="C14" s="7" t="inlineStr">
        <is>
          <t>ZwickRoell, US</t>
        </is>
      </c>
      <c r="D14" s="7" t="inlineStr">
        <is>
          <t>678-650-2716</t>
        </is>
      </c>
      <c r="E14" s="44" t="inlineStr">
        <is>
          <t>eric.milan@zwickroell.com</t>
        </is>
      </c>
      <c r="G14" s="7" t="inlineStr">
        <is>
          <t>Completed:</t>
        </is>
      </c>
      <c r="H14" s="10">
        <f>COUNTIF(F24:F35,"Completed")</f>
        <v/>
      </c>
    </row>
    <row r="15">
      <c r="A15" s="7" t="inlineStr">
        <is>
          <t>Tech Support</t>
        </is>
      </c>
      <c r="B15" s="7" t="inlineStr">
        <is>
          <t>TBD</t>
        </is>
      </c>
      <c r="C15" s="7" t="n"/>
      <c r="D15" s="7" t="n"/>
      <c r="E15" s="7" t="n"/>
      <c r="G15" s="7" t="inlineStr">
        <is>
          <t>In Progress:</t>
        </is>
      </c>
      <c r="H15" s="10">
        <f>COUNTIF(F24:F35,"In Progress")</f>
        <v/>
      </c>
    </row>
    <row r="16">
      <c r="A16" s="7" t="inlineStr">
        <is>
          <t>Field Service Engineer (FSE)</t>
        </is>
      </c>
      <c r="B16" s="7" t="n"/>
      <c r="C16" s="7" t="n"/>
      <c r="D16" s="7" t="n"/>
      <c r="E16" s="7" t="n"/>
      <c r="G16" s="7" t="inlineStr">
        <is>
          <t>Blocked:</t>
        </is>
      </c>
      <c r="H16" s="10">
        <f>COUNTIF(F24:F35,"Blocked")</f>
        <v/>
      </c>
    </row>
    <row r="17">
      <c r="A17" s="7" t="inlineStr">
        <is>
          <t>Industry Manager (IM)</t>
        </is>
      </c>
      <c r="B17" s="7" t="inlineStr">
        <is>
          <t>James Ritchey</t>
        </is>
      </c>
      <c r="C17" s="7" t="inlineStr">
        <is>
          <t>ZwickRoell, US</t>
        </is>
      </c>
      <c r="D17" s="7" t="inlineStr">
        <is>
          <t>781-927-4023</t>
        </is>
      </c>
      <c r="E17" s="44" t="inlineStr">
        <is>
          <t>james.ritchey@zwickroell.com</t>
        </is>
      </c>
      <c r="G17" s="7" t="inlineStr">
        <is>
          <t>% Complete:</t>
        </is>
      </c>
      <c r="H17" s="10">
        <f>IFERROR(COUNTIF(F24:F35,"Completed")/COUNTA(A24:A35),0)</f>
        <v/>
      </c>
      <c r="I17" s="42" t="n"/>
    </row>
    <row r="18">
      <c r="A18" s="7" t="inlineStr">
        <is>
          <t>ZRU Project Manager</t>
        </is>
      </c>
      <c r="B18" s="7" t="inlineStr">
        <is>
          <t>Heiko Haller</t>
        </is>
      </c>
      <c r="C18" s="7" t="inlineStr">
        <is>
          <t>ZwickRoell Ulm</t>
        </is>
      </c>
      <c r="D18" s="7" t="inlineStr">
        <is>
          <t>+49 7305 10 11809</t>
        </is>
      </c>
      <c r="E18" s="44" t="inlineStr">
        <is>
          <t>heiko.haller@zwickroell.com</t>
        </is>
      </c>
    </row>
    <row r="19">
      <c r="A19" s="7" t="inlineStr">
        <is>
          <t>Customer Contact</t>
        </is>
      </c>
      <c r="B19" s="7" t="inlineStr">
        <is>
          <t>Porter, Katie</t>
        </is>
      </c>
      <c r="C19" s="7" t="inlineStr">
        <is>
          <t>Polymer Chemistry Innovations</t>
        </is>
      </c>
      <c r="D19" s="7" t="inlineStr">
        <is>
          <t>+1(520)808-5695</t>
        </is>
      </c>
      <c r="E19" s="7" t="inlineStr">
        <is>
          <t>katie@polychemistry.com</t>
        </is>
      </c>
    </row>
    <row r="20">
      <c r="A20" s="7" t="inlineStr">
        <is>
          <t>Logistics Coordinator</t>
        </is>
      </c>
      <c r="B20" s="7" t="inlineStr">
        <is>
          <t>Anita Boyd</t>
        </is>
      </c>
      <c r="C20" s="7" t="inlineStr">
        <is>
          <t>ZwickRoell, US</t>
        </is>
      </c>
      <c r="D20" s="7" t="inlineStr">
        <is>
          <t>678-695-5752</t>
        </is>
      </c>
      <c r="E20" s="44" t="inlineStr">
        <is>
          <t>anita.boyd@zwickroell.com</t>
        </is>
      </c>
    </row>
    <row r="22" ht="18.75" customHeight="1">
      <c r="A22" s="56" t="inlineStr">
        <is>
          <t>MILESTONE TRACKING</t>
        </is>
      </c>
    </row>
    <row r="23">
      <c r="A23" s="9" t="inlineStr">
        <is>
          <t>Phase</t>
        </is>
      </c>
      <c r="B23" s="9" t="inlineStr">
        <is>
          <t>Target Date</t>
        </is>
      </c>
      <c r="C23" s="9" t="inlineStr">
        <is>
          <t>Actual Date</t>
        </is>
      </c>
      <c r="D23" s="9" t="inlineStr">
        <is>
          <t>Activity Description</t>
        </is>
      </c>
      <c r="E23" s="9" t="inlineStr">
        <is>
          <t>Responsible Party</t>
        </is>
      </c>
      <c r="F23" s="9" t="inlineStr">
        <is>
          <t>Status</t>
        </is>
      </c>
      <c r="G23" s="9" t="inlineStr">
        <is>
          <t>Dependencies</t>
        </is>
      </c>
      <c r="H23" s="9" t="inlineStr">
        <is>
          <t>Comments / Meeting Notes</t>
        </is>
      </c>
      <c r="I23" s="9" t="inlineStr">
        <is>
          <t>Document References</t>
        </is>
      </c>
    </row>
    <row r="24" ht="73.5" customHeight="1">
      <c r="A24" s="28" t="inlineStr">
        <is>
          <t>Pre-FAT</t>
        </is>
      </c>
      <c r="B24" s="45" t="n"/>
      <c r="C24" s="45" t="n"/>
      <c r="D24" s="29" t="inlineStr">
        <is>
          <t>Confirm order from ZRU to ZNRA: Get confirming order to XXX with FAT &amp; delivery expectations</t>
        </is>
      </c>
      <c r="E24" s="29" t="inlineStr">
        <is>
          <t>Project Manager</t>
        </is>
      </c>
      <c r="F24" s="28" t="inlineStr">
        <is>
          <t>Not Started</t>
        </is>
      </c>
      <c r="G24" s="28" t="inlineStr">
        <is>
          <t>—</t>
        </is>
      </c>
      <c r="H24" s="29" t="n"/>
      <c r="I24" s="30" t="inlineStr">
        <is>
          <t>Purchase Order</t>
        </is>
      </c>
    </row>
    <row r="25" ht="180" customHeight="1">
      <c r="A25" s="28" t="inlineStr">
        <is>
          <t>Pre-FAT</t>
        </is>
      </c>
      <c r="B25" s="45" t="n"/>
      <c r="C25" s="45" t="n"/>
      <c r="D25" s="29" t="inlineStr">
        <is>
          <t>Plan initial call to review FAT &amp; initial Logistics Plan w/ZRNA Team &amp; Customer
• Provide schematic with dimensions
• Confirm physical delivery path to laboratory
• Third party riggers if needed
• Review facilities requirements
• Plan cadence meetings</t>
        </is>
      </c>
      <c r="E25" s="29" t="inlineStr">
        <is>
          <t>Tech Support, RSM, IM, Project Manager, Customer</t>
        </is>
      </c>
      <c r="F25" s="28" t="inlineStr">
        <is>
          <t>Not Started</t>
        </is>
      </c>
      <c r="G25" s="28" t="inlineStr">
        <is>
          <t>Task 1</t>
        </is>
      </c>
      <c r="H25" s="29" t="inlineStr">
        <is>
          <t>Power: 120V (standard plugs)
Compressed Air: min 6.5 bar/95 psi
Regulator &amp; filter on air line
Air line connector: ¼" female NPTs
ZwickRoell supplies 6mm flex hose</t>
        </is>
      </c>
      <c r="I25" s="30" t="inlineStr">
        <is>
          <t>Logistics Plan</t>
        </is>
      </c>
    </row>
    <row r="26" ht="105" customHeight="1">
      <c r="A26" s="28" t="inlineStr">
        <is>
          <t>Pre-FAT</t>
        </is>
      </c>
      <c r="B26" s="45" t="n"/>
      <c r="C26" s="45" t="n"/>
      <c r="D26" s="29" t="inlineStr">
        <is>
          <t>Confirm FAT details
• Dates confirmed
• Review of FAT process &amp; details
• FAT specimens provided at least 3-4 weeks in advance of FAT</t>
        </is>
      </c>
      <c r="E26" s="29" t="inlineStr">
        <is>
          <t>Tech Support, RSM, IM, Project Manager, Customer</t>
        </is>
      </c>
      <c r="F26" s="28" t="inlineStr">
        <is>
          <t>Not Started</t>
        </is>
      </c>
      <c r="G26" s="28" t="inlineStr">
        <is>
          <t>Task 2</t>
        </is>
      </c>
      <c r="H26" s="29" t="n"/>
      <c r="I26" s="30" t="inlineStr">
        <is>
          <t>FAT Protocol, IQOQ Docs</t>
        </is>
      </c>
    </row>
    <row r="27" ht="120" customHeight="1">
      <c r="A27" s="31" t="inlineStr">
        <is>
          <t>Pre-FAT</t>
        </is>
      </c>
      <c r="B27" s="46" t="n"/>
      <c r="C27" s="46" t="n"/>
      <c r="D27" s="32" t="inlineStr">
        <is>
          <t>Confirm FAT &amp; Installation documentation
• FAT protocol provided by customer
• Manual provided by ZwickRoell
• IQOQ documents provided by ZwickRoell for finalization</t>
        </is>
      </c>
      <c r="E27" s="32" t="inlineStr">
        <is>
          <t>Tech Support, RSM, IM, Project Manager, Customer</t>
        </is>
      </c>
      <c r="F27" s="31" t="inlineStr">
        <is>
          <t>Not Started</t>
        </is>
      </c>
      <c r="G27" s="31" t="inlineStr">
        <is>
          <t>Task 3</t>
        </is>
      </c>
      <c r="H27" s="32" t="n"/>
      <c r="I27" s="33" t="n"/>
    </row>
    <row r="28" ht="240" customHeight="1">
      <c r="A28" s="31" t="inlineStr">
        <is>
          <t>Pre-FAT</t>
        </is>
      </c>
      <c r="B28" s="46" t="n"/>
      <c r="C28" s="46" t="n"/>
      <c r="D28" s="32" t="inlineStr">
        <is>
          <t>Confirm Installation Details
• Dates confirmed by ZNRA
• Review facilities &amp; confirm details overview
• Review schedule/timeline
• Status update on FAT specimens
• Review FAT protocol documents
• Review IQOQ documents
• Confirm logistics &amp; facilities needs
• Review install dates &amp; requirements
• Verify specimens available for install</t>
        </is>
      </c>
      <c r="E28" s="32" t="inlineStr">
        <is>
          <t>Tech Support, RSM, IM, Project Manager, Customer</t>
        </is>
      </c>
      <c r="F28" s="31" t="inlineStr">
        <is>
          <t>Not Started</t>
        </is>
      </c>
      <c r="G28" s="31" t="inlineStr">
        <is>
          <t>Task 4</t>
        </is>
      </c>
      <c r="H28" s="32" t="n"/>
      <c r="I28" s="33" t="n"/>
    </row>
    <row r="29" ht="90" customHeight="1">
      <c r="A29" s="34" t="inlineStr">
        <is>
          <t>FAT</t>
        </is>
      </c>
      <c r="B29" s="47" t="n"/>
      <c r="C29" s="47" t="n"/>
      <c r="D29" s="35" t="inlineStr">
        <is>
          <t>Confirm Travel Planning
• Attendee list (names &amp; title)
• Proposed travel dates
• ZNRA travel guide supplied
• Proposed dinner schedule</t>
        </is>
      </c>
      <c r="E29" s="35" t="inlineStr">
        <is>
          <t>Tech Support, RSM, IM, Project Manager, Customer</t>
        </is>
      </c>
      <c r="F29" s="34" t="inlineStr">
        <is>
          <t>Not Started</t>
        </is>
      </c>
      <c r="G29" s="34" t="inlineStr">
        <is>
          <t>Task 5</t>
        </is>
      </c>
      <c r="H29" s="35" t="n"/>
      <c r="I29" s="36" t="inlineStr">
        <is>
          <t>Travel Itinerary</t>
        </is>
      </c>
    </row>
    <row r="30" ht="60" customHeight="1">
      <c r="A30" s="37" t="inlineStr">
        <is>
          <t>FAT</t>
        </is>
      </c>
      <c r="B30" s="48" t="n"/>
      <c r="C30" s="48" t="n"/>
      <c r="D30" s="38" t="inlineStr">
        <is>
          <t>FAT Execution in Ulm</t>
        </is>
      </c>
      <c r="E30" s="38" t="inlineStr">
        <is>
          <t>Customer, FSE, ZRU PM</t>
        </is>
      </c>
      <c r="F30" s="37" t="inlineStr">
        <is>
          <t>Not Started</t>
        </is>
      </c>
      <c r="G30" s="37" t="inlineStr">
        <is>
          <t>Task 6</t>
        </is>
      </c>
      <c r="H30" s="38" t="n"/>
      <c r="I30" s="39" t="inlineStr">
        <is>
          <t>FAT Report</t>
        </is>
      </c>
    </row>
    <row r="31" ht="60" customHeight="1">
      <c r="A31" s="40" t="inlineStr">
        <is>
          <t>Logistics</t>
        </is>
      </c>
      <c r="B31" s="49" t="n"/>
      <c r="C31" s="49" t="n"/>
      <c r="D31" s="24" t="inlineStr">
        <is>
          <t>Shipment of system</t>
        </is>
      </c>
      <c r="E31" s="24" t="inlineStr">
        <is>
          <t>Anita Boyd</t>
        </is>
      </c>
      <c r="F31" s="40" t="inlineStr">
        <is>
          <t>Not Started</t>
        </is>
      </c>
      <c r="G31" s="40" t="inlineStr">
        <is>
          <t>Task 7</t>
        </is>
      </c>
      <c r="H31" s="24" t="n"/>
      <c r="I31" s="41" t="inlineStr">
        <is>
          <t>Shipping Documents</t>
        </is>
      </c>
    </row>
    <row r="32" ht="60" customHeight="1">
      <c r="A32" s="40" t="inlineStr">
        <is>
          <t>Install</t>
        </is>
      </c>
      <c r="B32" s="49" t="n"/>
      <c r="C32" s="49" t="n"/>
      <c r="D32" s="24" t="inlineStr">
        <is>
          <t>Installation at Customer Location</t>
        </is>
      </c>
      <c r="E32" s="24" t="inlineStr">
        <is>
          <t>FSE</t>
        </is>
      </c>
      <c r="F32" s="40" t="inlineStr">
        <is>
          <t>Not Started</t>
        </is>
      </c>
      <c r="G32" s="40" t="inlineStr">
        <is>
          <t>Task 8</t>
        </is>
      </c>
      <c r="H32" s="24" t="n"/>
      <c r="I32" s="41" t="inlineStr">
        <is>
          <t>Installation Report</t>
        </is>
      </c>
    </row>
    <row r="33" ht="60" customHeight="1">
      <c r="A33" s="40" t="inlineStr">
        <is>
          <t>Qualification</t>
        </is>
      </c>
      <c r="B33" s="49" t="n"/>
      <c r="C33" s="49" t="n"/>
      <c r="D33" s="24" t="inlineStr">
        <is>
          <t>IQOQ Execution</t>
        </is>
      </c>
      <c r="E33" s="24" t="inlineStr">
        <is>
          <t>FSE, Customer</t>
        </is>
      </c>
      <c r="F33" s="40" t="inlineStr">
        <is>
          <t>Not Started</t>
        </is>
      </c>
      <c r="G33" s="40" t="inlineStr">
        <is>
          <t>Task 9</t>
        </is>
      </c>
      <c r="H33" s="24" t="n"/>
      <c r="I33" s="41" t="inlineStr">
        <is>
          <t>IQOQ Protocol</t>
        </is>
      </c>
    </row>
    <row r="34" ht="60" customHeight="1">
      <c r="A34" s="40" t="inlineStr">
        <is>
          <t>Qualification</t>
        </is>
      </c>
      <c r="B34" s="49" t="n"/>
      <c r="C34" s="49" t="n"/>
      <c r="D34" s="24" t="inlineStr">
        <is>
          <t>Training &amp; Handover</t>
        </is>
      </c>
      <c r="E34" s="24" t="inlineStr">
        <is>
          <t>FSE, Customer</t>
        </is>
      </c>
      <c r="F34" s="40" t="inlineStr">
        <is>
          <t>Not Started</t>
        </is>
      </c>
      <c r="G34" s="40" t="inlineStr">
        <is>
          <t>Task 10</t>
        </is>
      </c>
      <c r="H34" s="24" t="n"/>
      <c r="I34" s="41" t="inlineStr">
        <is>
          <t>Training Materials</t>
        </is>
      </c>
    </row>
    <row r="35" ht="60" customHeight="1">
      <c r="A35" s="40" t="inlineStr">
        <is>
          <t>Qualification</t>
        </is>
      </c>
      <c r="B35" s="49" t="n"/>
      <c r="C35" s="49" t="n"/>
      <c r="D35" s="24" t="inlineStr">
        <is>
          <t>Final Sign-Off &amp; Project Closure</t>
        </is>
      </c>
      <c r="E35" s="24" t="inlineStr">
        <is>
          <t>Project Manager, Customer</t>
        </is>
      </c>
      <c r="F35" s="40" t="inlineStr">
        <is>
          <t>Not Started</t>
        </is>
      </c>
      <c r="G35" s="40" t="inlineStr">
        <is>
          <t>Task 11</t>
        </is>
      </c>
      <c r="H35" s="24" t="n"/>
      <c r="I35" s="41" t="inlineStr">
        <is>
          <t>Sign-Off Form</t>
        </is>
      </c>
    </row>
    <row r="36">
      <c r="A36" s="15" t="n"/>
      <c r="B36" s="16" t="n"/>
      <c r="C36" s="16" t="n"/>
      <c r="D36" s="1" t="n"/>
      <c r="E36" s="1" t="n"/>
      <c r="F36" s="15" t="n"/>
      <c r="G36" s="15" t="n"/>
      <c r="H36" s="1" t="n"/>
      <c r="I36" s="17" t="n"/>
    </row>
    <row r="37">
      <c r="A37" s="15" t="n"/>
      <c r="B37" s="16" t="n"/>
      <c r="C37" s="16" t="n"/>
      <c r="D37" s="1" t="n"/>
      <c r="E37" s="1" t="n"/>
      <c r="F37" s="15" t="n"/>
      <c r="G37" s="15" t="n"/>
      <c r="H37" s="1" t="n"/>
      <c r="I37" s="17" t="n"/>
    </row>
    <row r="38" ht="18.75" customHeight="1">
      <c r="A38" s="86" t="inlineStr">
        <is>
          <t>RISK &amp; ISSUES LOG</t>
        </is>
      </c>
      <c r="I38" s="6" t="n"/>
    </row>
    <row r="39">
      <c r="A39" s="20" t="inlineStr">
        <is>
          <t>Issue #</t>
        </is>
      </c>
      <c r="B39" s="18" t="inlineStr">
        <is>
          <t>Date Identified</t>
        </is>
      </c>
      <c r="C39" s="18" t="inlineStr">
        <is>
          <t>Description</t>
        </is>
      </c>
      <c r="D39" s="19" t="inlineStr">
        <is>
          <t>Impact (H/M/L)</t>
        </is>
      </c>
      <c r="E39" s="19" t="inlineStr">
        <is>
          <t>Owner</t>
        </is>
      </c>
      <c r="F39" s="25" t="inlineStr">
        <is>
          <t>Status</t>
        </is>
      </c>
      <c r="G39" s="87" t="inlineStr">
        <is>
          <t>• Delay &gt; 5 business days on critical path</t>
        </is>
      </c>
      <c r="I39" s="6" t="n"/>
    </row>
    <row r="40">
      <c r="A40" s="12" t="inlineStr">
        <is>
          <t>ISS-001</t>
        </is>
      </c>
      <c r="B40" s="50" t="n"/>
      <c r="C40" s="13" t="n"/>
      <c r="D40" s="14" t="n"/>
      <c r="E40" s="14" t="n"/>
      <c r="F40" s="26" t="inlineStr">
        <is>
          <t>Open</t>
        </is>
      </c>
      <c r="G40" s="88" t="inlineStr">
        <is>
          <t>• Customer-reported blocking issue</t>
        </is>
      </c>
      <c r="I40" s="6" t="n"/>
    </row>
    <row r="41">
      <c r="A41" s="12" t="inlineStr">
        <is>
          <t>ISS-002</t>
        </is>
      </c>
      <c r="B41" s="50" t="n"/>
      <c r="C41" s="13" t="n"/>
      <c r="D41" s="14" t="n"/>
      <c r="E41" s="14" t="n"/>
      <c r="F41" s="26" t="inlineStr">
        <is>
          <t>Open</t>
        </is>
      </c>
      <c r="G41" s="88" t="inlineStr">
        <is>
          <t>• Safety or compliance concern identified</t>
        </is>
      </c>
      <c r="I41" s="6" t="n"/>
    </row>
    <row r="42">
      <c r="A42" s="12" t="inlineStr">
        <is>
          <t>ISS-003</t>
        </is>
      </c>
      <c r="B42" s="50" t="n"/>
      <c r="C42" s="13" t="n"/>
      <c r="D42" s="14" t="n"/>
      <c r="E42" s="14" t="n"/>
      <c r="F42" s="26" t="inlineStr">
        <is>
          <t>Open</t>
        </is>
      </c>
      <c r="G42" s="88" t="inlineStr">
        <is>
          <t>• Resource unavailability impacting schedule</t>
        </is>
      </c>
      <c r="I42" s="6" t="n"/>
    </row>
    <row r="43">
      <c r="A43" s="15" t="n"/>
      <c r="B43" s="16" t="n"/>
      <c r="C43" s="16" t="n"/>
      <c r="D43" s="1" t="n"/>
      <c r="E43" s="1" t="n"/>
      <c r="F43" s="15" t="n"/>
      <c r="G43" s="88" t="inlineStr">
        <is>
          <t>• Budget variance &gt; 10%</t>
        </is>
      </c>
      <c r="I43" s="6" t="n"/>
    </row>
    <row r="44">
      <c r="A44" s="15" t="n"/>
      <c r="B44" s="16" t="n"/>
      <c r="C44" s="16" t="n"/>
      <c r="D44" s="1" t="n"/>
      <c r="E44" s="1" t="n"/>
      <c r="F44" s="15" t="n"/>
      <c r="G44" s="89" t="inlineStr">
        <is>
          <t>Escalation Contact: [Manager Name]</t>
        </is>
      </c>
      <c r="H44" s="90" t="n"/>
      <c r="I44" s="77" t="n"/>
    </row>
    <row r="45" ht="18.75" customHeight="1">
      <c r="A45" s="64" t="inlineStr">
        <is>
          <t>SIGN-OFF &amp; APPROVAL</t>
        </is>
      </c>
    </row>
    <row r="46">
      <c r="A46" s="23" t="inlineStr">
        <is>
          <t>Role</t>
        </is>
      </c>
      <c r="B46" s="21" t="inlineStr">
        <is>
          <t>Name</t>
        </is>
      </c>
      <c r="C46" s="21" t="inlineStr">
        <is>
          <t>Signature</t>
        </is>
      </c>
      <c r="D46" s="22" t="inlineStr">
        <is>
          <t>Date</t>
        </is>
      </c>
      <c r="E46" s="22" t="inlineStr">
        <is>
          <t>Comments</t>
        </is>
      </c>
      <c r="F46" s="15" t="n"/>
      <c r="G46" s="16" t="n"/>
      <c r="H46" s="1" t="n"/>
      <c r="I46" s="17" t="n"/>
    </row>
    <row r="47">
      <c r="A47" s="12" t="inlineStr">
        <is>
          <t>Customer Representative</t>
        </is>
      </c>
      <c r="B47" s="13" t="n"/>
      <c r="C47" s="13" t="n"/>
      <c r="D47" s="51" t="n"/>
      <c r="E47" s="14" t="n"/>
      <c r="F47" s="15" t="n"/>
      <c r="G47" s="16" t="n"/>
      <c r="H47" s="1" t="n"/>
      <c r="I47" s="17" t="n"/>
    </row>
    <row r="48">
      <c r="A48" s="12" t="inlineStr">
        <is>
          <t>Project Manager</t>
        </is>
      </c>
      <c r="B48" s="13" t="n"/>
      <c r="C48" s="13" t="n"/>
      <c r="D48" s="51" t="n"/>
      <c r="E48" s="14" t="n"/>
      <c r="F48" s="15" t="n"/>
      <c r="G48" s="16" t="n"/>
      <c r="H48" s="1" t="n"/>
      <c r="I48" s="17" t="n"/>
    </row>
    <row r="49">
      <c r="A49" s="12" t="inlineStr">
        <is>
          <t>Field Service Engineer</t>
        </is>
      </c>
      <c r="B49" s="13" t="n"/>
      <c r="C49" s="13" t="n"/>
      <c r="D49" s="51" t="n"/>
      <c r="E49" s="14" t="n"/>
      <c r="F49" s="15" t="n"/>
      <c r="G49" s="16" t="n"/>
      <c r="H49" s="1" t="n"/>
      <c r="I49" s="17" t="n"/>
    </row>
    <row r="50">
      <c r="A50" s="12" t="inlineStr">
        <is>
          <t>Quality Assurance</t>
        </is>
      </c>
      <c r="B50" s="13" t="n"/>
      <c r="C50" s="13" t="n"/>
      <c r="D50" s="51" t="n"/>
      <c r="E50" s="14" t="n"/>
      <c r="F50" s="15" t="n"/>
      <c r="G50" s="16" t="n"/>
      <c r="H50" s="1" t="n"/>
      <c r="I50" s="17" t="n"/>
    </row>
    <row r="53" ht="18.75" customHeight="1">
      <c r="A53" s="61" t="inlineStr">
        <is>
          <t>FACILITIES REQUIREMENTS CHECKLIST</t>
        </is>
      </c>
    </row>
    <row r="54">
      <c r="A54" s="27" t="inlineStr">
        <is>
          <t>Item</t>
        </is>
      </c>
      <c r="B54" s="27" t="inlineStr">
        <is>
          <t>Requirement</t>
        </is>
      </c>
      <c r="C54" s="27" t="inlineStr">
        <is>
          <t>Customer Confirms</t>
        </is>
      </c>
      <c r="D54" s="27" t="inlineStr">
        <is>
          <t>Verified By</t>
        </is>
      </c>
      <c r="E54" s="27" t="inlineStr">
        <is>
          <t>Date Verified</t>
        </is>
      </c>
    </row>
    <row r="55">
      <c r="A55" s="7" t="inlineStr">
        <is>
          <t>Power Supply</t>
        </is>
      </c>
      <c r="B55" s="7" t="inlineStr">
        <is>
          <t>120V (standard plugs)</t>
        </is>
      </c>
      <c r="C55" s="10" t="inlineStr">
        <is>
          <t>☐</t>
        </is>
      </c>
      <c r="D55" s="7" t="n"/>
      <c r="E55" s="52" t="n"/>
    </row>
    <row r="56">
      <c r="A56" s="7" t="inlineStr">
        <is>
          <t>Compressed Air</t>
        </is>
      </c>
      <c r="B56" s="7" t="inlineStr">
        <is>
          <t>Minimum 6.5 bar / 95 psi</t>
        </is>
      </c>
      <c r="C56" s="10" t="inlineStr">
        <is>
          <t>☐</t>
        </is>
      </c>
      <c r="D56" s="7" t="n"/>
      <c r="E56" s="52" t="n"/>
    </row>
    <row r="57">
      <c r="A57" s="7" t="inlineStr">
        <is>
          <t>Air Regulator</t>
        </is>
      </c>
      <c r="B57" s="7" t="inlineStr">
        <is>
          <t>Regulator &amp; filter on air line</t>
        </is>
      </c>
      <c r="C57" s="10" t="inlineStr">
        <is>
          <t>☐</t>
        </is>
      </c>
      <c r="D57" s="7" t="n"/>
      <c r="E57" s="52" t="n"/>
    </row>
    <row r="58">
      <c r="A58" s="7" t="inlineStr">
        <is>
          <t>Air Connector</t>
        </is>
      </c>
      <c r="B58" s="7" t="inlineStr">
        <is>
          <t>¼" female NPTs</t>
        </is>
      </c>
      <c r="C58" s="10" t="inlineStr">
        <is>
          <t>☐</t>
        </is>
      </c>
      <c r="D58" s="7" t="n"/>
      <c r="E58" s="52" t="n"/>
    </row>
    <row r="59">
      <c r="A59" s="7" t="inlineStr">
        <is>
          <t>Floor Space</t>
        </is>
      </c>
      <c r="B59" s="7" t="inlineStr">
        <is>
          <t>Per schematic requirements</t>
        </is>
      </c>
      <c r="C59" s="10" t="inlineStr">
        <is>
          <t>☐</t>
        </is>
      </c>
      <c r="D59" s="7" t="n"/>
      <c r="E59" s="52" t="n"/>
    </row>
    <row r="60">
      <c r="A60" s="7" t="inlineStr">
        <is>
          <t>Delivery Path</t>
        </is>
      </c>
      <c r="B60" s="7" t="inlineStr">
        <is>
          <t>Clear path to laboratory</t>
        </is>
      </c>
      <c r="C60" s="10" t="inlineStr">
        <is>
          <t>☐</t>
        </is>
      </c>
      <c r="D60" s="7" t="n"/>
      <c r="E60" s="52" t="n"/>
    </row>
    <row r="61">
      <c r="A61" s="7" t="inlineStr">
        <is>
          <t>Rigging Access</t>
        </is>
      </c>
      <c r="B61" s="7" t="inlineStr">
        <is>
          <t>Third-party rigger coordination</t>
        </is>
      </c>
      <c r="C61" s="10" t="inlineStr">
        <is>
          <t>☐</t>
        </is>
      </c>
      <c r="D61" s="7" t="n"/>
      <c r="E61" s="52" t="n"/>
    </row>
    <row r="62">
      <c r="A62" s="7" t="inlineStr">
        <is>
          <t>Network/IT</t>
        </is>
      </c>
      <c r="B62" s="7" t="inlineStr">
        <is>
          <t>Per equipment requirements</t>
        </is>
      </c>
      <c r="C62" s="10" t="inlineStr">
        <is>
          <t>☐</t>
        </is>
      </c>
      <c r="D62" s="7" t="n"/>
      <c r="E62" s="52" t="n"/>
    </row>
  </sheetData>
  <mergeCells count="17">
    <mergeCell ref="A53:E53"/>
    <mergeCell ref="G2:I2"/>
    <mergeCell ref="G42:I42"/>
    <mergeCell ref="G44:I44"/>
    <mergeCell ref="G41:I41"/>
    <mergeCell ref="B8:D8"/>
    <mergeCell ref="A45:I45"/>
    <mergeCell ref="B9:D9"/>
    <mergeCell ref="A7:D7"/>
    <mergeCell ref="G39:I39"/>
    <mergeCell ref="G40:I40"/>
    <mergeCell ref="A1:E1"/>
    <mergeCell ref="A11:E11"/>
    <mergeCell ref="A22:I22"/>
    <mergeCell ref="G43:I43"/>
    <mergeCell ref="A38:I38"/>
    <mergeCell ref="G11:I11"/>
  </mergeCells>
  <conditionalFormatting sqref="F24:F37 F39:F44 F46:F50">
    <cfRule type="containsText" priority="1" operator="containsText" dxfId="4" text="Not Started">
      <formula>NOT(ISERROR(SEARCH("Not Started",F24)))</formula>
    </cfRule>
    <cfRule type="containsText" priority="2" operator="containsText" dxfId="3" text="In Progress">
      <formula>NOT(ISERROR(SEARCH("In Progress",F24)))</formula>
    </cfRule>
    <cfRule type="containsText" priority="3" operator="containsText" dxfId="2" text="Completed">
      <formula>NOT(ISERROR(SEARCH("Completed",F24)))</formula>
    </cfRule>
    <cfRule type="containsText" priority="4" operator="containsText" dxfId="1" text="Blocked">
      <formula>NOT(ISERROR(SEARCH("Blocked",F24)))</formula>
    </cfRule>
    <cfRule type="containsText" priority="5" operator="containsText" dxfId="0" text="On Hold">
      <formula>NOT(ISERROR(SEARCH("On Hold",F24)))</formula>
    </cfRule>
  </conditionalFormatting>
  <dataValidations count="7">
    <dataValidation sqref="F24:F37 F39" showDropDown="0" showInputMessage="1" showErrorMessage="1" allowBlank="1" type="list">
      <formula1>"Not Started,In Progress,Completed,Blocked,On Hold"</formula1>
    </dataValidation>
    <dataValidation sqref="A36:A50" showDropDown="0" showInputMessage="1" showErrorMessage="1" allowBlank="1" type="list">
      <formula1>"Pre-FAT,FAT,Logistics,Install,Commissioning"</formula1>
    </dataValidation>
    <dataValidation sqref="D40:D44 D46" showDropDown="0" showInputMessage="1" showErrorMessage="1" allowBlank="1" type="list">
      <formula1>"High,Medium,Low"</formula1>
    </dataValidation>
    <dataValidation sqref="F40:F44 F46:F50" showDropDown="0" showInputMessage="1" showErrorMessage="1" allowBlank="1" type="list">
      <formula1>"Open,In Progress,Resolved,Closed,Escalated"</formula1>
    </dataValidation>
    <dataValidation sqref="C55:C62" showDropDown="0" showInputMessage="1" showErrorMessage="1" allowBlank="1" type="list">
      <formula1>"☐,☑,N/A"</formula1>
    </dataValidation>
    <dataValidation sqref="B24:C35 B40:B42 D47:D50 E55:E62" showDropDown="0" showInputMessage="1" showErrorMessage="1" allowBlank="1" errorTitle="Invalid Date" error="Please enter a valid date. Use format MM-DD-YYYY (e.g., 05-12-2026)" promptTitle="Enter Date" prompt="Please enter a valid date in MM-DD-YYYY format._x000a_Example: 05-12-2026" type="date">
      <formula1>1</formula1>
      <formula2>73415</formula2>
    </dataValidation>
    <dataValidation sqref="A24:A35" showDropDown="0" showInputMessage="1" showErrorMessage="1" allowBlank="1" type="list">
      <formula1>"Pre-FAT,FAT,Logistics,Install,Qualification"</formula1>
    </dataValidation>
  </dataValidations>
  <hyperlinks>
    <hyperlink xmlns:r="http://schemas.openxmlformats.org/officeDocument/2006/relationships" ref="E14" r:id="rId1"/>
    <hyperlink xmlns:r="http://schemas.openxmlformats.org/officeDocument/2006/relationships" ref="E17" r:id="rId2"/>
    <hyperlink xmlns:r="http://schemas.openxmlformats.org/officeDocument/2006/relationships" ref="E18" r:id="rId3"/>
    <hyperlink xmlns:r="http://schemas.openxmlformats.org/officeDocument/2006/relationships" ref="E20" r:id="rId4"/>
  </hyperlinks>
  <printOptions headings="1"/>
  <pageMargins left="0.7" right="0.7" top="0.75" bottom="0.75" header="0.3" footer="0.3"/>
  <pageSetup orientation="landscape" scale="49" fitToHeight="0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Ritchey, James</dc:creator>
  <dcterms:created xmlns:dcterms="http://purl.org/dc/terms/" xmlns:xsi="http://www.w3.org/2001/XMLSchema-instance" xsi:type="dcterms:W3CDTF">2025-04-24T12:43:30Z</dcterms:created>
  <dcterms:modified xmlns:dcterms="http://purl.org/dc/terms/" xmlns:xsi="http://www.w3.org/2001/XMLSchema-instance" xsi:type="dcterms:W3CDTF">2026-06-19T20:47:07Z</dcterms:modified>
  <cp:lastModifiedBy>Milan, Eric</cp:lastModifiedBy>
  <cp:lastPrinted>2026-05-12T17:49:51Z</cp:lastPrinted>
</cp:coreProperties>
</file>